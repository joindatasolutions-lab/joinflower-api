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A4746\Documents\JOIN\Arquitectura\nuevoPetalops\joinflower-api-main\joinflower-api-main\presupuesto\"/>
    </mc:Choice>
  </mc:AlternateContent>
  <xr:revisionPtr revIDLastSave="0" documentId="13_ncr:1_{8B886D14-624E-4C29-978D-BEE444158A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talle Mensu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E13" i="2" s="1"/>
</calcChain>
</file>

<file path=xl/sharedStrings.xml><?xml version="1.0" encoding="utf-8"?>
<sst xmlns="http://schemas.openxmlformats.org/spreadsheetml/2006/main" count="62" uniqueCount="54">
  <si>
    <t>Elemento de nube</t>
  </si>
  <si>
    <t>Para que se usa en el proyecto</t>
  </si>
  <si>
    <t>Necesario fase 1</t>
  </si>
  <si>
    <t>Rango mensual COP</t>
  </si>
  <si>
    <t>Valor sugerido COP</t>
  </si>
  <si>
    <t>Observaciones</t>
  </si>
  <si>
    <t>Cloud Run - Backend API</t>
  </si>
  <si>
    <t>Ejecutar la API del sistema: ventas POS, inventario, clientes, informes y usuarios.</t>
  </si>
  <si>
    <t>Si</t>
  </si>
  <si>
    <t>30.000 - 90.000</t>
  </si>
  <si>
    <t>Puede escalar segun trafico. Para 1 sucursal debe mantenerse controlado.</t>
  </si>
  <si>
    <t>Cloud SQL PostgreSQL</t>
  </si>
  <si>
    <t>Base de datos transaccional del negocio: ventas, productos, stock, clientes, usuarios, cierres y auditoria.</t>
  </si>
  <si>
    <t>40.000 - 170.000</t>
  </si>
  <si>
    <t>Es el componente mas sensible en costo. Requiere monitoreo de instancia, almacenamiento y backups.</t>
  </si>
  <si>
    <t>Artifact Registry</t>
  </si>
  <si>
    <t>Guardar imagenes Docker del backend desplegado en Cloud Run.</t>
  </si>
  <si>
    <t>3.000 - 5.000</t>
  </si>
  <si>
    <t>Costo bajo, depende de cantidad de imagenes retenidas.</t>
  </si>
  <si>
    <t>Cloud Build</t>
  </si>
  <si>
    <t>Construccion/despliegue automatico de imagenes cuando se publica una version.</t>
  </si>
  <si>
    <t>0 - 5.000</t>
  </si>
  <si>
    <t>Costo usualmente bajo si hay pocos despliegues.</t>
  </si>
  <si>
    <t>Cloud Logging / Monitoring</t>
  </si>
  <si>
    <t>Logs, errores, latencia y monitoreo basico para soporte productivo.</t>
  </si>
  <si>
    <t>0 - 10.000</t>
  </si>
  <si>
    <t>Controlar volumen de logs para evitar sobrecostos.</t>
  </si>
  <si>
    <t>Cloud Storage</t>
  </si>
  <si>
    <t>Guardar archivos opcionales: imagenes de productos, reportes exportados, soportes o cargas Excel.</t>
  </si>
  <si>
    <t>Condicional</t>
  </si>
  <si>
    <t>Solo si el proyecto manejara archivos. No es obligatorio si todo vive en BD.</t>
  </si>
  <si>
    <t>BigQuery Billing Export</t>
  </si>
  <si>
    <t>Seguimiento de costos de nube y analisis de facturacion.</t>
  </si>
  <si>
    <t>Recomendado</t>
  </si>
  <si>
    <t>0 - 2.000</t>
  </si>
  <si>
    <t>Util para controlar presupuesto mensual.</t>
  </si>
  <si>
    <t>Redis / Memorystore</t>
  </si>
  <si>
    <t>Cache para consultas repetidas o alto trafico.</t>
  </si>
  <si>
    <t>No inicial</t>
  </si>
  <si>
    <t>0</t>
  </si>
  <si>
    <t>No recomendado para 1 sucursal en fase inicial. Agregar solo si aparecen cuellos reales.</t>
  </si>
  <si>
    <t>Hosting frontend / sitio web</t>
  </si>
  <si>
    <t>Publicacion del frontend web del sistema para acceso de administradores y usuarios operativos.</t>
  </si>
  <si>
    <t>20.000 - 60.000</t>
  </si>
  <si>
    <t>Puede ser Cloud Run, Firebase Hosting, Cloud Storage + CDN u otro hosting administrado. Para 1 sucursal se estima bajo.</t>
  </si>
  <si>
    <t>Dominio anual prorrateado</t>
  </si>
  <si>
    <t>Dominio web del cliente para acceder al sistema con URL propia.</t>
  </si>
  <si>
    <t>5.000 - 10.000</t>
  </si>
  <si>
    <t>Estimado mensual equivalente. Dominio anual aproximado: COP 96.000. El valor real depende de extension .com, .co u otra.</t>
  </si>
  <si>
    <t>Base tecnica estimada incluyendo hosting y dominio prorrateado.</t>
  </si>
  <si>
    <t>Margen para cambios de consumo, soporte de infraestructura y variaciones de facturacion.</t>
  </si>
  <si>
    <t>Permite ofrecer precio mensual fijo recomendado con hosting y dominio incluidos.</t>
  </si>
  <si>
    <t>Hostin anual + Dominio anual</t>
  </si>
  <si>
    <t>costo tecnico de nube sugerido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</si>
</sst>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>
      <pane ySplit="1" topLeftCell="A2" activePane="bottomLeft" state="frozen"/>
      <selection pane="bottomLeft" activeCell="A13" sqref="A13"/>
    </sheetView>
  </sheetViews>
  <sheetFormatPr baseColWidth="10" defaultColWidth="8.7265625" defaultRowHeight="14.5" x14ac:dyDescent="0.35"/>
  <cols>
    <col min="1" max="1" width="30" customWidth="1"/>
    <col min="2" max="2" width="55" customWidth="1"/>
    <col min="3" max="3" width="18" customWidth="1"/>
    <col min="4" max="4" width="19" customWidth="1"/>
    <col min="5" max="5" width="20" customWidth="1"/>
    <col min="6" max="6" width="5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" customHeight="1" x14ac:dyDescent="0.35">
      <c r="A2" s="1" t="s">
        <v>6</v>
      </c>
      <c r="B2" s="1" t="s">
        <v>7</v>
      </c>
      <c r="C2" s="1" t="s">
        <v>8</v>
      </c>
      <c r="D2" s="1" t="s">
        <v>9</v>
      </c>
      <c r="E2" s="3">
        <v>40000</v>
      </c>
      <c r="F2" s="1" t="s">
        <v>10</v>
      </c>
    </row>
    <row r="3" spans="1:6" ht="29" customHeight="1" x14ac:dyDescent="0.35">
      <c r="A3" s="1" t="s">
        <v>11</v>
      </c>
      <c r="B3" s="1" t="s">
        <v>12</v>
      </c>
      <c r="C3" s="1" t="s">
        <v>8</v>
      </c>
      <c r="D3" s="1" t="s">
        <v>13</v>
      </c>
      <c r="E3" s="3">
        <v>80000</v>
      </c>
      <c r="F3" s="1" t="s">
        <v>14</v>
      </c>
    </row>
    <row r="4" spans="1:6" ht="29" customHeight="1" x14ac:dyDescent="0.35">
      <c r="A4" s="1" t="s">
        <v>15</v>
      </c>
      <c r="B4" s="1" t="s">
        <v>16</v>
      </c>
      <c r="C4" s="1" t="s">
        <v>8</v>
      </c>
      <c r="D4" s="1" t="s">
        <v>17</v>
      </c>
      <c r="E4" s="3">
        <v>4000</v>
      </c>
      <c r="F4" s="1" t="s">
        <v>18</v>
      </c>
    </row>
    <row r="5" spans="1:6" ht="29" customHeight="1" x14ac:dyDescent="0.35">
      <c r="A5" s="1" t="s">
        <v>19</v>
      </c>
      <c r="B5" s="1" t="s">
        <v>20</v>
      </c>
      <c r="C5" s="1" t="s">
        <v>8</v>
      </c>
      <c r="D5" s="1" t="s">
        <v>21</v>
      </c>
      <c r="E5" s="3">
        <v>3000</v>
      </c>
      <c r="F5" s="1" t="s">
        <v>22</v>
      </c>
    </row>
    <row r="6" spans="1:6" ht="29" customHeight="1" x14ac:dyDescent="0.35">
      <c r="A6" s="1" t="s">
        <v>23</v>
      </c>
      <c r="B6" s="1" t="s">
        <v>24</v>
      </c>
      <c r="C6" s="1" t="s">
        <v>8</v>
      </c>
      <c r="D6" s="1" t="s">
        <v>25</v>
      </c>
      <c r="E6" s="3">
        <v>8000</v>
      </c>
      <c r="F6" s="1" t="s">
        <v>26</v>
      </c>
    </row>
    <row r="7" spans="1:6" ht="29" customHeight="1" x14ac:dyDescent="0.35">
      <c r="A7" s="1" t="s">
        <v>27</v>
      </c>
      <c r="B7" s="1" t="s">
        <v>28</v>
      </c>
      <c r="C7" s="1" t="s">
        <v>29</v>
      </c>
      <c r="D7" s="1" t="s">
        <v>25</v>
      </c>
      <c r="E7" s="3">
        <v>5000</v>
      </c>
      <c r="F7" s="1" t="s">
        <v>30</v>
      </c>
    </row>
    <row r="8" spans="1:6" x14ac:dyDescent="0.35">
      <c r="A8" s="1" t="s">
        <v>31</v>
      </c>
      <c r="B8" s="1" t="s">
        <v>32</v>
      </c>
      <c r="C8" s="1" t="s">
        <v>33</v>
      </c>
      <c r="D8" s="1" t="s">
        <v>34</v>
      </c>
      <c r="E8" s="3">
        <v>1000</v>
      </c>
      <c r="F8" s="1" t="s">
        <v>35</v>
      </c>
    </row>
    <row r="9" spans="1:6" ht="29" customHeight="1" x14ac:dyDescent="0.35">
      <c r="A9" s="1" t="s">
        <v>36</v>
      </c>
      <c r="B9" s="1" t="s">
        <v>37</v>
      </c>
      <c r="C9" s="1" t="s">
        <v>38</v>
      </c>
      <c r="D9" s="1" t="s">
        <v>39</v>
      </c>
      <c r="E9" s="3">
        <v>0</v>
      </c>
      <c r="F9" s="1" t="s">
        <v>40</v>
      </c>
    </row>
    <row r="10" spans="1:6" ht="29" x14ac:dyDescent="0.35">
      <c r="A10" s="1" t="s">
        <v>41</v>
      </c>
      <c r="B10" s="1" t="s">
        <v>42</v>
      </c>
      <c r="C10" s="1" t="s">
        <v>8</v>
      </c>
      <c r="D10" s="1" t="s">
        <v>43</v>
      </c>
      <c r="E10" s="3">
        <v>40000</v>
      </c>
      <c r="F10" s="1" t="s">
        <v>44</v>
      </c>
    </row>
    <row r="11" spans="1:6" ht="29" customHeight="1" x14ac:dyDescent="0.35">
      <c r="A11" s="5" t="s">
        <v>45</v>
      </c>
      <c r="B11" s="5" t="s">
        <v>46</v>
      </c>
      <c r="C11" s="5" t="s">
        <v>8</v>
      </c>
      <c r="D11" s="5" t="s">
        <v>47</v>
      </c>
      <c r="E11" s="6">
        <v>8000</v>
      </c>
      <c r="F11" s="5" t="s">
        <v>48</v>
      </c>
    </row>
    <row r="12" spans="1:6" ht="29" x14ac:dyDescent="0.35">
      <c r="A12" s="4" t="s">
        <v>53</v>
      </c>
      <c r="B12" s="7"/>
      <c r="C12" s="7"/>
      <c r="D12" s="7"/>
      <c r="E12" s="8">
        <f>SUM(E2:E11)</f>
        <v>189000</v>
      </c>
      <c r="F12" s="7" t="s">
        <v>49</v>
      </c>
    </row>
    <row r="13" spans="1:6" ht="29" x14ac:dyDescent="0.35">
      <c r="A13" s="1" t="s">
        <v>52</v>
      </c>
      <c r="B13" s="1" t="s">
        <v>50</v>
      </c>
      <c r="C13" s="1" t="s">
        <v>8</v>
      </c>
      <c r="D13" s="1"/>
      <c r="E13" s="3">
        <f>300000-E12</f>
        <v>111000</v>
      </c>
      <c r="F13" s="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Camacho Rocha, Juan De Dios</cp:lastModifiedBy>
  <dcterms:created xsi:type="dcterms:W3CDTF">2026-08-21T20:38:16Z</dcterms:created>
  <dcterms:modified xsi:type="dcterms:W3CDTF">2026-08-21T20:48:50Z</dcterms:modified>
</cp:coreProperties>
</file>